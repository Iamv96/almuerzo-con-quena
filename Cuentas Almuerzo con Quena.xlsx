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  <sheet name="Porciones por Integrante" sheetId="2" state="visible" r:id="rId2"/>
    <sheet name="División y Tarj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47857"/>
      <sz val="11"/>
    </font>
    <font>
      <name val="Calibri"/>
      <b val="1"/>
      <color rgb="00991B1B"/>
      <sz val="11"/>
    </font>
    <font>
      <name val="Calibri"/>
      <b val="1"/>
      <color rgb="00065F46"/>
      <sz val="11"/>
    </font>
    <font>
      <name val="Calibri"/>
      <b val="1"/>
      <color rgb="001E3A8A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164" fontId="1" fillId="0" borderId="1" pivotButton="0" quotePrefix="0" xfId="0"/>
    <xf numFmtId="0" fontId="0" fillId="0" borderId="1" pivotButton="0" quotePrefix="0" xfId="0"/>
    <xf numFmtId="0" fontId="1" fillId="0" borderId="1" pivotButton="0" quotePrefix="0" xfId="0"/>
    <xf numFmtId="164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4" fillId="0" borderId="1" pivotButton="0" quotePrefix="0" xfId="0"/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7" fillId="0" borderId="1" pivotButton="0" quotePrefix="0" xfId="0"/>
    <xf numFmtId="0" fontId="7" fillId="6" borderId="1" applyAlignment="1" pivotButton="0" quotePrefix="0" xfId="0">
      <alignment horizontal="center"/>
    </xf>
    <xf numFmtId="164" fontId="1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54" customWidth="1" min="2" max="2"/>
    <col width="20" customWidth="1" min="3" max="3"/>
    <col width="17" customWidth="1" min="4" max="4"/>
    <col width="18" customWidth="1" min="5" max="5"/>
  </cols>
  <sheetData>
    <row r="1">
      <c r="A1" s="1" t="inlineStr">
        <is>
          <t>Evento</t>
        </is>
      </c>
      <c r="B1" s="2" t="inlineStr">
        <is>
          <t>Almuerzo con Quena</t>
        </is>
      </c>
    </row>
    <row r="2">
      <c r="A2" s="1" t="inlineStr">
        <is>
          <t>Comercio</t>
        </is>
      </c>
      <c r="B2" s="2" t="inlineStr">
        <is>
          <t>Cencosud Retail S.A. (Jumbo Quilpué - Freire 2414)</t>
        </is>
      </c>
    </row>
    <row r="3">
      <c r="A3" s="1" t="inlineStr">
        <is>
          <t>N° Boleta Electrónica</t>
        </is>
      </c>
      <c r="B3" s="2" t="inlineStr">
        <is>
          <t>3492491858</t>
        </is>
      </c>
    </row>
    <row r="4">
      <c r="A4" s="1" t="inlineStr">
        <is>
          <t>Fecha y Hora</t>
        </is>
      </c>
      <c r="B4" s="2" t="inlineStr">
        <is>
          <t>04/10/2026 14:02</t>
        </is>
      </c>
    </row>
    <row r="5">
      <c r="A5" s="1" t="inlineStr">
        <is>
          <t>Pagado por</t>
        </is>
      </c>
      <c r="B5" s="2" t="inlineStr">
        <is>
          <t>Ignacio Molina (Tarjeta de Crédito)</t>
        </is>
      </c>
    </row>
    <row r="6">
      <c r="A6" s="1" t="inlineStr">
        <is>
          <t>Total Compra Boleta</t>
        </is>
      </c>
      <c r="B6" s="3" t="n">
        <v>59230</v>
      </c>
    </row>
    <row r="7"/>
    <row r="8">
      <c r="A8" s="4" t="inlineStr">
        <is>
          <t>Código</t>
        </is>
      </c>
      <c r="B8" s="4" t="inlineStr">
        <is>
          <t>Producto / Detalle</t>
        </is>
      </c>
      <c r="C8" s="4" t="inlineStr">
        <is>
          <t>Precio Lista ($)</t>
        </is>
      </c>
      <c r="D8" s="4" t="inlineStr">
        <is>
          <t>Descuento ($)</t>
        </is>
      </c>
      <c r="E8" s="4" t="inlineStr">
        <is>
          <t>Total Neto ($)</t>
        </is>
      </c>
    </row>
    <row r="9">
      <c r="A9" s="5" t="inlineStr">
        <is>
          <t>7802500000053</t>
        </is>
      </c>
      <c r="B9" s="6" t="inlineStr">
        <is>
          <t>Spaghetti 5 Lucchetti (4 un)</t>
        </is>
      </c>
      <c r="C9" s="7" t="n">
        <v>4280</v>
      </c>
      <c r="D9" s="7" t="n">
        <v>1280</v>
      </c>
      <c r="E9" s="8" t="n">
        <v>3000</v>
      </c>
    </row>
    <row r="10">
      <c r="A10" s="5" t="inlineStr">
        <is>
          <t>7802300000154</t>
        </is>
      </c>
      <c r="B10" s="6" t="inlineStr">
        <is>
          <t>Salsa Tomate Mallo (6 un)</t>
        </is>
      </c>
      <c r="C10" s="7" t="n">
        <v>5340</v>
      </c>
      <c r="D10" s="7" t="n">
        <v>1360</v>
      </c>
      <c r="E10" s="8" t="n">
        <v>3980</v>
      </c>
    </row>
    <row r="11">
      <c r="A11" s="5" t="inlineStr">
        <is>
          <t>7804684740107</t>
        </is>
      </c>
      <c r="B11" s="6" t="inlineStr">
        <is>
          <t>Carne Molida 7% (2 un)</t>
        </is>
      </c>
      <c r="C11" s="7" t="n">
        <v>13980</v>
      </c>
      <c r="D11" s="7" t="n">
        <v>0</v>
      </c>
      <c r="E11" s="8" t="n">
        <v>13980</v>
      </c>
    </row>
    <row r="12">
      <c r="A12" s="5" t="inlineStr">
        <is>
          <t>7802920423814</t>
        </is>
      </c>
      <c r="B12" s="6" t="inlineStr">
        <is>
          <t>Queso Colún Reggianito (2 un)</t>
        </is>
      </c>
      <c r="C12" s="7" t="n">
        <v>4420</v>
      </c>
      <c r="D12" s="7" t="n">
        <v>640</v>
      </c>
      <c r="E12" s="8" t="n">
        <v>3780</v>
      </c>
    </row>
    <row r="13">
      <c r="A13" s="5" t="inlineStr">
        <is>
          <t>7801610350409</t>
        </is>
      </c>
      <c r="B13" s="6" t="inlineStr">
        <is>
          <t>Bebida Coca-Cola Sin Azúcar 1.5L (2 un)</t>
        </is>
      </c>
      <c r="C13" s="7" t="n">
        <v>4580</v>
      </c>
      <c r="D13" s="7" t="n">
        <v>1490</v>
      </c>
      <c r="E13" s="8" t="n">
        <v>3090</v>
      </c>
    </row>
    <row r="14">
      <c r="A14" s="5" t="inlineStr">
        <is>
          <t>7801610175217</t>
        </is>
      </c>
      <c r="B14" s="6" t="inlineStr">
        <is>
          <t>Bebida Sprite Zero</t>
        </is>
      </c>
      <c r="C14" s="7" t="n">
        <v>2590</v>
      </c>
      <c r="D14" s="7" t="n">
        <v>0</v>
      </c>
      <c r="E14" s="8" t="n">
        <v>2590</v>
      </c>
    </row>
    <row r="15">
      <c r="A15" s="5" t="inlineStr">
        <is>
          <t>7801365000284</t>
        </is>
      </c>
      <c r="B15" s="6" t="inlineStr">
        <is>
          <t>Champiñón Bandeja</t>
        </is>
      </c>
      <c r="C15" s="7" t="n">
        <v>1690</v>
      </c>
      <c r="D15" s="7" t="n">
        <v>0</v>
      </c>
      <c r="E15" s="8" t="n">
        <v>1690</v>
      </c>
    </row>
    <row r="16">
      <c r="A16" s="5" t="inlineStr">
        <is>
          <t>7804684740008</t>
        </is>
      </c>
      <c r="B16" s="6" t="inlineStr">
        <is>
          <t>Carne Molida 10%</t>
        </is>
      </c>
      <c r="C16" s="7" t="n">
        <v>6690</v>
      </c>
      <c r="D16" s="7" t="n">
        <v>0</v>
      </c>
      <c r="E16" s="8" t="n">
        <v>6690</v>
      </c>
    </row>
    <row r="17">
      <c r="A17" s="5" t="inlineStr">
        <is>
          <t>7803455005131</t>
        </is>
      </c>
      <c r="B17" s="6" t="inlineStr">
        <is>
          <t>Torta Merengue Lúcuma</t>
        </is>
      </c>
      <c r="C17" s="7" t="n">
        <v>19990</v>
      </c>
      <c r="D17" s="7" t="n">
        <v>0</v>
      </c>
      <c r="E17" s="8" t="n">
        <v>19990</v>
      </c>
    </row>
    <row r="18">
      <c r="A18" s="5" t="inlineStr">
        <is>
          <t>7806500241416</t>
        </is>
      </c>
      <c r="B18" s="6" t="inlineStr">
        <is>
          <t>Servilleta Nova</t>
        </is>
      </c>
      <c r="C18" s="7" t="n">
        <v>440</v>
      </c>
      <c r="D18" s="7" t="n">
        <v>0</v>
      </c>
      <c r="E18" s="8" t="n">
        <v>440</v>
      </c>
    </row>
    <row r="19">
      <c r="A19" s="9" t="inlineStr"/>
      <c r="B19" s="10" t="inlineStr">
        <is>
          <t>TOTAL GENERAL BOLETA</t>
        </is>
      </c>
      <c r="C19" s="8">
        <f>SUM(C9:C18)</f>
        <v/>
      </c>
      <c r="D19" s="8">
        <f>SUM(D9:D18)</f>
        <v/>
      </c>
      <c r="E19" s="11">
        <f>SUM(E9:E18)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42" customWidth="1" min="4" max="4"/>
  </cols>
  <sheetData>
    <row r="1">
      <c r="A1" s="4" t="inlineStr">
        <is>
          <t>Asistente / Porción</t>
        </is>
      </c>
      <c r="B1" s="4" t="inlineStr">
        <is>
          <t>N° Porciones</t>
        </is>
      </c>
      <c r="C1" s="4" t="inlineStr">
        <is>
          <t>Tarjeta de Cobranza Asignada</t>
        </is>
      </c>
      <c r="D1" s="4" t="inlineStr">
        <is>
          <t>Cuota Individual Calculada</t>
        </is>
      </c>
    </row>
    <row r="2">
      <c r="A2" s="10" t="inlineStr">
        <is>
          <t>Pamela</t>
        </is>
      </c>
      <c r="B2" s="5" t="n">
        <v>1</v>
      </c>
      <c r="C2" s="6" t="inlineStr">
        <is>
          <t>Pamela (Grupo Familiar)</t>
        </is>
      </c>
      <c r="D2" s="8">
        <f>ROUND(Compras!$E$19 / $B$13 * B2, 0)</f>
        <v/>
      </c>
    </row>
    <row r="3">
      <c r="A3" s="10" t="inlineStr">
        <is>
          <t>Cote</t>
        </is>
      </c>
      <c r="B3" s="5" t="n">
        <v>1</v>
      </c>
      <c r="C3" s="6" t="inlineStr">
        <is>
          <t>Pamela (Grupo Familiar)</t>
        </is>
      </c>
      <c r="D3" s="8">
        <f>ROUND(Compras!$E$19 / $B$13 * B3, 0)</f>
        <v/>
      </c>
    </row>
    <row r="4">
      <c r="A4" s="10" t="inlineStr">
        <is>
          <t>Alejandra</t>
        </is>
      </c>
      <c r="B4" s="5" t="n">
        <v>1</v>
      </c>
      <c r="C4" s="6" t="inlineStr">
        <is>
          <t>Alejandra</t>
        </is>
      </c>
      <c r="D4" s="8">
        <f>ROUND(Compras!$E$19 / $B$13 * B4, 0)</f>
        <v/>
      </c>
    </row>
    <row r="5">
      <c r="A5" s="10" t="inlineStr">
        <is>
          <t>Ignacio</t>
        </is>
      </c>
      <c r="B5" s="5" t="n">
        <v>1</v>
      </c>
      <c r="C5" s="6" t="inlineStr">
        <is>
          <t>Ignacio</t>
        </is>
      </c>
      <c r="D5" s="8">
        <f>ROUND(Compras!$E$19 / $B$13 * B5, 0)</f>
        <v/>
      </c>
    </row>
    <row r="6">
      <c r="A6" s="10" t="inlineStr">
        <is>
          <t>Mindy</t>
        </is>
      </c>
      <c r="B6" s="5" t="n">
        <v>1</v>
      </c>
      <c r="C6" s="6" t="inlineStr">
        <is>
          <t>Mindy (Grupo Familiar)</t>
        </is>
      </c>
      <c r="D6" s="8">
        <f>ROUND(Compras!$E$19 / $B$13 * B6, 0)</f>
        <v/>
      </c>
    </row>
    <row r="7">
      <c r="A7" s="10" t="inlineStr">
        <is>
          <t>Mauricio</t>
        </is>
      </c>
      <c r="B7" s="5" t="n">
        <v>1</v>
      </c>
      <c r="C7" s="6" t="inlineStr">
        <is>
          <t>Mindy (Grupo Familiar)</t>
        </is>
      </c>
      <c r="D7" s="8">
        <f>ROUND(Compras!$E$19 / $B$13 * B7, 0)</f>
        <v/>
      </c>
    </row>
    <row r="8">
      <c r="A8" s="10" t="inlineStr">
        <is>
          <t>Gustavo</t>
        </is>
      </c>
      <c r="B8" s="5" t="n">
        <v>1</v>
      </c>
      <c r="C8" s="6" t="inlineStr">
        <is>
          <t>Mindy (Grupo Familiar)</t>
        </is>
      </c>
      <c r="D8" s="8">
        <f>ROUND(Compras!$E$19 / $B$13 * B8, 0)</f>
        <v/>
      </c>
    </row>
    <row r="9">
      <c r="A9" s="10" t="inlineStr">
        <is>
          <t>Joaquín</t>
        </is>
      </c>
      <c r="B9" s="5" t="n">
        <v>1</v>
      </c>
      <c r="C9" s="6" t="inlineStr">
        <is>
          <t>Joaquín (Grupo Familiar)</t>
        </is>
      </c>
      <c r="D9" s="8">
        <f>ROUND(Compras!$E$19 / $B$13 * B9, 0)</f>
        <v/>
      </c>
    </row>
    <row r="10">
      <c r="A10" s="10" t="inlineStr">
        <is>
          <t>Kheissa</t>
        </is>
      </c>
      <c r="B10" s="5" t="n">
        <v>1</v>
      </c>
      <c r="C10" s="6" t="inlineStr">
        <is>
          <t>Joaquín (Grupo Familiar)</t>
        </is>
      </c>
      <c r="D10" s="8">
        <f>ROUND(Compras!$E$19 / $B$13 * B10, 0)</f>
        <v/>
      </c>
    </row>
    <row r="11">
      <c r="A11" s="10" t="inlineStr">
        <is>
          <t>Carla</t>
        </is>
      </c>
      <c r="B11" s="5" t="n">
        <v>1</v>
      </c>
      <c r="C11" s="6" t="inlineStr">
        <is>
          <t>Carla (Grupo Familiar)</t>
        </is>
      </c>
      <c r="D11" s="8">
        <f>ROUND(Compras!$E$19 / $B$13 * B11, 0)</f>
        <v/>
      </c>
    </row>
    <row r="12">
      <c r="A12" s="10" t="inlineStr">
        <is>
          <t>Maxi y Martín (compartido)</t>
        </is>
      </c>
      <c r="B12" s="5" t="n">
        <v>1</v>
      </c>
      <c r="C12" s="6" t="inlineStr">
        <is>
          <t>Carla (Grupo Familiar)</t>
        </is>
      </c>
      <c r="D12" s="8">
        <f>ROUND(Compras!$E$19 / $B$13 * B12, 0)</f>
        <v/>
      </c>
    </row>
    <row r="13">
      <c r="A13" s="10" t="inlineStr">
        <is>
          <t>Total Porciones</t>
        </is>
      </c>
      <c r="B13" s="12">
        <f>SUM(B2:B12)</f>
        <v/>
      </c>
      <c r="C13" s="9" t="inlineStr"/>
      <c r="D13" s="11">
        <f>SUM(D2:D12)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2" customWidth="1" min="3" max="3"/>
    <col width="68" customWidth="1" min="4" max="4"/>
    <col width="26" customWidth="1" min="5" max="5"/>
    <col width="48" customWidth="1" min="6" max="6"/>
    <col width="33" customWidth="1" min="7" max="7"/>
    <col width="18" customWidth="1" min="8" max="8"/>
  </cols>
  <sheetData>
    <row r="1">
      <c r="A1" s="4" t="inlineStr">
        <is>
          <t>Tarjeta / Responsable</t>
        </is>
      </c>
      <c r="B1" s="4" t="inlineStr">
        <is>
          <t>Porciones</t>
        </is>
      </c>
      <c r="C1" s="4" t="inlineStr">
        <is>
          <t>Personas Incluidas</t>
        </is>
      </c>
      <c r="D1" s="4" t="inlineStr">
        <is>
          <t>Total Cuota ($)</t>
        </is>
      </c>
      <c r="E1" s="4" t="inlineStr">
        <is>
          <t>Aportado en Boleta ($)</t>
        </is>
      </c>
      <c r="F1" s="4" t="inlineStr">
        <is>
          <t>Saldo a Liquidar ($)</t>
        </is>
      </c>
      <c r="G1" s="4" t="inlineStr">
        <is>
          <t>Acción / Destinatario</t>
        </is>
      </c>
      <c r="H1" s="4" t="inlineStr">
        <is>
          <t>Estado</t>
        </is>
      </c>
    </row>
    <row r="2">
      <c r="A2" s="10" t="inlineStr">
        <is>
          <t>Pamela</t>
        </is>
      </c>
      <c r="B2" s="13" t="n">
        <v>2</v>
      </c>
      <c r="C2" s="6" t="inlineStr">
        <is>
          <t>Pamela (1) + Cote (1)</t>
        </is>
      </c>
      <c r="D2" s="8">
        <f>ROUND(Compras!$E$19 / 'Porciones por Integrante'!$B$13 * B2, 0)</f>
        <v/>
      </c>
      <c r="E2" s="7" t="n">
        <v>0</v>
      </c>
      <c r="F2" s="14">
        <f>D2-E2</f>
        <v/>
      </c>
      <c r="G2" s="5" t="inlineStr">
        <is>
          <t>Transfiere a Ignacio</t>
        </is>
      </c>
      <c r="H2" s="15" t="inlineStr">
        <is>
          <t>Pendiente</t>
        </is>
      </c>
    </row>
    <row r="3">
      <c r="A3" s="10" t="inlineStr">
        <is>
          <t>Alejandra</t>
        </is>
      </c>
      <c r="B3" s="13" t="n">
        <v>1</v>
      </c>
      <c r="C3" s="6" t="inlineStr">
        <is>
          <t>Alejandra (1)</t>
        </is>
      </c>
      <c r="D3" s="8">
        <f>ROUND(Compras!$E$19 / 'Porciones por Integrante'!$B$13 * B3, 0)</f>
        <v/>
      </c>
      <c r="E3" s="7" t="n">
        <v>0</v>
      </c>
      <c r="F3" s="14">
        <f>D3-E3</f>
        <v/>
      </c>
      <c r="G3" s="5" t="inlineStr">
        <is>
          <t>Transfiere a Ignacio</t>
        </is>
      </c>
      <c r="H3" s="16" t="inlineStr">
        <is>
          <t>Pagado</t>
        </is>
      </c>
    </row>
    <row r="4">
      <c r="A4" s="10" t="inlineStr">
        <is>
          <t>Ignacio</t>
        </is>
      </c>
      <c r="B4" s="13" t="n">
        <v>1</v>
      </c>
      <c r="C4" s="6" t="inlineStr">
        <is>
          <t>Ignacio (1)</t>
        </is>
      </c>
      <c r="D4" s="8">
        <f>ROUND(Compras!$E$19 / 'Porciones por Integrante'!$B$13 * B4, 0)</f>
        <v/>
      </c>
      <c r="E4" s="7" t="n">
        <v>59230</v>
      </c>
      <c r="F4" s="17">
        <f>E4-D4</f>
        <v/>
      </c>
      <c r="G4" s="5" t="inlineStr">
        <is>
          <t>Organizador (Recauda $53.845)</t>
        </is>
      </c>
      <c r="H4" s="18" t="inlineStr">
        <is>
          <t>Organizador</t>
        </is>
      </c>
    </row>
    <row r="5">
      <c r="A5" s="10" t="inlineStr">
        <is>
          <t>Mindy</t>
        </is>
      </c>
      <c r="B5" s="13" t="n">
        <v>3</v>
      </c>
      <c r="C5" s="6" t="inlineStr">
        <is>
          <t>Mindy (1) + Mauricio (1) + Gustavo (1)</t>
        </is>
      </c>
      <c r="D5" s="8">
        <f>ROUND(Compras!$E$19 / 'Porciones por Integrante'!$B$13 * B5, 0)</f>
        <v/>
      </c>
      <c r="E5" s="7" t="n">
        <v>0</v>
      </c>
      <c r="F5" s="14">
        <f>D5-E5</f>
        <v/>
      </c>
      <c r="G5" s="5" t="inlineStr">
        <is>
          <t>Transfiere a Ignacio</t>
        </is>
      </c>
      <c r="H5" s="15" t="inlineStr">
        <is>
          <t>Pendiente</t>
        </is>
      </c>
    </row>
    <row r="6">
      <c r="A6" s="10" t="inlineStr">
        <is>
          <t>Joaquín</t>
        </is>
      </c>
      <c r="B6" s="13" t="n">
        <v>2</v>
      </c>
      <c r="C6" s="6" t="inlineStr">
        <is>
          <t>Joaquín (1) + Kheissa (1)</t>
        </is>
      </c>
      <c r="D6" s="8">
        <f>ROUND(Compras!$E$19 / 'Porciones por Integrante'!$B$13 * B6, 0)</f>
        <v/>
      </c>
      <c r="E6" s="7" t="n">
        <v>0</v>
      </c>
      <c r="F6" s="14">
        <f>D6-E6</f>
        <v/>
      </c>
      <c r="G6" s="5" t="inlineStr">
        <is>
          <t>Transfiere a Ignacio</t>
        </is>
      </c>
      <c r="H6" s="15" t="inlineStr">
        <is>
          <t>Pendiente</t>
        </is>
      </c>
    </row>
    <row r="7">
      <c r="A7" s="10" t="inlineStr">
        <is>
          <t>Carla</t>
        </is>
      </c>
      <c r="B7" s="13" t="n">
        <v>2</v>
      </c>
      <c r="C7" s="6" t="inlineStr">
        <is>
          <t>Carla (1) + Maxi y Martín (1)</t>
        </is>
      </c>
      <c r="D7" s="8">
        <f>ROUND(Compras!$E$19 / 'Porciones por Integrante'!$B$13 * B7, 0)</f>
        <v/>
      </c>
      <c r="E7" s="7" t="n">
        <v>0</v>
      </c>
      <c r="F7" s="14">
        <f>D7-E7</f>
        <v/>
      </c>
      <c r="G7" s="5" t="inlineStr">
        <is>
          <t>Transfiere a Ignacio</t>
        </is>
      </c>
      <c r="H7" s="15" t="inlineStr">
        <is>
          <t>Pendiente</t>
        </is>
      </c>
    </row>
    <row r="8">
      <c r="A8" s="10" t="inlineStr">
        <is>
          <t>Totales</t>
        </is>
      </c>
      <c r="B8" s="13">
        <f>SUM(B2:B7)</f>
        <v/>
      </c>
      <c r="C8" s="9" t="inlineStr"/>
      <c r="D8" s="11">
        <f>SUM(D2:D7)</f>
        <v/>
      </c>
      <c r="E8" s="11">
        <f>SUM(E2:E7)</f>
        <v/>
      </c>
      <c r="F8" s="19">
        <f>SUMIF(G2:G7, "Transfiere a Ignacio", F2:F7)</f>
        <v/>
      </c>
      <c r="G8" s="13" t="inlineStr">
        <is>
          <t>Total Recaudación Ignacio</t>
        </is>
      </c>
      <c r="H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2026-10-05T19:24:39Z</dcterms:created>
  <dcterms:modified xsi:type="dcterms:W3CDTF">2026-10-05T19:24:39Z</dcterms:modified>
</cp:coreProperties>
</file>